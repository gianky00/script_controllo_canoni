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Coemi\Desktop\SCRIPT\script_controllo_canoni\controllo_canoni_ts\"/>
    </mc:Choice>
  </mc:AlternateContent>
  <xr:revisionPtr revIDLastSave="0" documentId="13_ncr:1_{A9BA3BD2-6F38-4D98-B02F-EC549CB82D03}" xr6:coauthVersionLast="36" xr6:coauthVersionMax="36" xr10:uidLastSave="{00000000-0000-0000-0000-000000000000}"/>
  <bookViews>
    <workbookView minimized="1" xWindow="0" yWindow="0" windowWidth="13590" windowHeight="5685" xr2:uid="{00000000-000D-0000-FFFF-FFFF00000000}"/>
  </bookViews>
  <sheets>
    <sheet name="parametri" sheetId="1" r:id="rId1"/>
    <sheet name="ODC canoni" sheetId="3" r:id="rId2"/>
  </sheets>
  <definedNames>
    <definedName name="AA">parametri!$J$3</definedName>
    <definedName name="DatiEsterni_1" localSheetId="1" hidden="1">'ODC canoni'!$A$1:$D$2</definedName>
    <definedName name="PercorsoDinamico">parametri!$J$3</definedName>
    <definedName name="PercorsoDinamico2">parametri!$E$5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B3" i="1" l="1"/>
  <c r="A7" i="1" l="1"/>
  <c r="E5" i="1" l="1"/>
  <c r="A8" i="1" l="1"/>
  <c r="A9" i="1"/>
  <c r="A10" i="1"/>
  <c r="B10" i="1"/>
  <c r="B9" i="1"/>
  <c r="B8" i="1"/>
  <c r="B7" i="1"/>
  <c r="A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Giancarlo Allegretti</author>
  </authors>
  <commentList>
    <comment ref="F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Giancarlo Allegretti:</t>
        </r>
        <r>
          <rPr>
            <sz val="9"/>
            <color indexed="81"/>
            <rFont val="Tahoma"/>
            <family val="2"/>
          </rPr>
          <t xml:space="preserve">
se è SI, viene avviato il codice VBA elaboraTutto() per generare ed eseguire il controllo sui canoni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EC923-CD0F-4946-99C9-23EBBC4487E2}" keepAlive="1" name="Query - RIEPILOGO" description="Connessione alla query 'RIEPILOGO' nella cartella di lavoro." type="5" refreshedVersion="6" background="1" saveData="1">
    <dbPr connection="Provider=Microsoft.Mashup.OleDb.1;Data Source=$Workbook$;Location=RIEPILOGO;Extended Properties=&quot;&quot;" command="SELECT * FROM [RIEPILOGO]"/>
  </connection>
</connections>
</file>

<file path=xl/sharedStrings.xml><?xml version="1.0" encoding="utf-8"?>
<sst xmlns="http://schemas.openxmlformats.org/spreadsheetml/2006/main" count="24" uniqueCount="24">
  <si>
    <t>Utenza</t>
  </si>
  <si>
    <t>Username</t>
  </si>
  <si>
    <t>Password</t>
  </si>
  <si>
    <t>ODC</t>
  </si>
  <si>
    <t>POSIZIONE</t>
  </si>
  <si>
    <t>PERCORSI</t>
  </si>
  <si>
    <t>DOWNLOAD TS</t>
  </si>
  <si>
    <t>COMPARATORE TS</t>
  </si>
  <si>
    <t>ABILITA FUNZIONE</t>
  </si>
  <si>
    <t>SPOSTAMENTO FILE TS</t>
  </si>
  <si>
    <t>C:\Users\Coemi\Downloads</t>
  </si>
  <si>
    <t>TRICHINI</t>
  </si>
  <si>
    <t>\\192.168.11.251\Database_Tecnico_SMI\MASTER FOGLI DI CALCOLO\Comparatore_TS-Giornaliera (canoni).xlsm</t>
  </si>
  <si>
    <t>SI</t>
  </si>
  <si>
    <t>NAS</t>
  </si>
  <si>
    <t>ARCOM BLE PON</t>
  </si>
  <si>
    <t>PA1S</t>
  </si>
  <si>
    <t>UTILITIES</t>
  </si>
  <si>
    <t>PA3S</t>
  </si>
  <si>
    <t>5400</t>
  </si>
  <si>
    <t>GIORNALIERA</t>
  </si>
  <si>
    <t>5400267905</t>
  </si>
  <si>
    <t>5400267902</t>
  </si>
  <si>
    <t>5400267911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</si>
</sst>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quotePrefix="1"/>
    <xf numFmtId="16" fontId="0" fillId="0" borderId="0" xfId="0" applyNumberFormat="1"/>
    <xf numFmtId="14" fontId="0" fillId="0" borderId="0" xfId="0" applyNumberFormat="1"/>
    <xf numFmtId="0" fontId="5" fillId="0" borderId="1" xfId="1" applyBorder="1"/>
    <xf numFmtId="0" fontId="1" fillId="0" borderId="1" xfId="0" applyFont="1" applyBorder="1" applyAlignment="1">
      <alignment horizontal="center"/>
    </xf>
  </cellXfs>
  <cellStyles count="2">
    <cellStyle name="Collegamento ipertestuale" xfId="1" builtinId="8"/>
    <cellStyle name="Normale" xfId="0" builtinId="0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8F21FD36-A7EB-4587-928F-D6D2497FED9E}" autoFormatId="16" applyNumberFormats="0" applyBorderFormats="0" applyFontFormats="0" applyPatternFormats="0" applyAlignmentFormats="0" applyWidthHeightFormats="0">
  <queryTableRefresh nextId="10">
    <queryTableFields count="4">
      <queryTableField id="6" name="ARCOM BLE PON" tableColumnId="6"/>
      <queryTableField id="7" name="PA1S" tableColumnId="7"/>
      <queryTableField id="8" name="UTILITIES" tableColumnId="8"/>
      <queryTableField id="9" name="PA3S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a1" displayName="Tabella1" ref="A6:B10" totalsRowShown="0" headerRowDxfId="2" headerRowBorderDxfId="1" tableBorderDxfId="0">
  <autoFilter ref="A6:B10" xr:uid="{00000000-0009-0000-0100-000001000000}"/>
  <tableColumns count="2">
    <tableColumn id="1" xr3:uid="{00000000-0010-0000-0000-000001000000}" name="ODC"/>
    <tableColumn id="2" xr3:uid="{00000000-0010-0000-0000-000002000000}" name="POSIZION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E137C3-A78B-4840-B7C2-16AB63C31108}" name="RIEPILOGO" displayName="RIEPILOGO" ref="A1:D2" tableType="queryTable" totalsRowShown="0">
  <autoFilter ref="A1:D2" xr:uid="{95D8A345-90A7-4942-84D5-6A20326E0EE2}"/>
  <tableColumns count="4">
    <tableColumn id="6" xr3:uid="{0D3318C1-BBD4-468D-BC82-481F398F08E7}" uniqueName="6" name="ARCOM BLE PON" queryTableFieldId="6"/>
    <tableColumn id="7" xr3:uid="{920D99C7-3A5B-486B-9A11-32F58C561C97}" uniqueName="7" name="PA1S" queryTableFieldId="7"/>
    <tableColumn id="8" xr3:uid="{87C59B1E-4347-4239-9968-B1DA7E5086CD}" uniqueName="8" name="UTILITIES" queryTableFieldId="8"/>
    <tableColumn id="9" xr3:uid="{A51FC2B0-0AB1-4C61-824F-AB9A2D0A6514}" uniqueName="9" name="PA3S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192.168.11.251\Condivisa\ALLEGRETTI\2025\TS\CANONI\06%20-%20GIUGNO" TargetMode="External"/><Relationship Id="rId1" Type="http://schemas.openxmlformats.org/officeDocument/2006/relationships/hyperlink" Target="file:///\\192.168.11.251\Database_Tecnico_SMI\MASTER%20FOGLI%20DI%20CALCOLO\Comparatore_TS-Giornaliera%20(canoni).xlsm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J21"/>
  <sheetViews>
    <sheetView tabSelected="1" zoomScale="85" zoomScaleNormal="85" workbookViewId="0">
      <selection activeCell="E8" sqref="E8"/>
    </sheetView>
  </sheetViews>
  <sheetFormatPr defaultRowHeight="15" x14ac:dyDescent="0.25"/>
  <cols>
    <col min="1" max="1" width="18.85546875" bestFit="1" customWidth="1"/>
    <col min="2" max="2" width="12.42578125" bestFit="1" customWidth="1"/>
    <col min="3" max="3" width="2.85546875" customWidth="1"/>
    <col min="4" max="4" width="20.140625" bestFit="1" customWidth="1"/>
    <col min="5" max="5" width="102.42578125" bestFit="1" customWidth="1"/>
    <col min="6" max="6" width="16.5703125" bestFit="1" customWidth="1"/>
    <col min="8" max="8" width="33.140625" bestFit="1" customWidth="1"/>
    <col min="9" max="9" width="9.7109375" bestFit="1" customWidth="1"/>
    <col min="10" max="10" width="24.7109375" bestFit="1" customWidth="1"/>
    <col min="11" max="11" width="107" bestFit="1" customWidth="1"/>
  </cols>
  <sheetData>
    <row r="1" spans="1:10" ht="15.75" x14ac:dyDescent="0.25">
      <c r="A1" s="1" t="s">
        <v>0</v>
      </c>
      <c r="B1" s="1" t="s">
        <v>11</v>
      </c>
      <c r="D1" s="9" t="s">
        <v>5</v>
      </c>
      <c r="E1" s="9"/>
      <c r="F1" s="4" t="s">
        <v>8</v>
      </c>
      <c r="H1" t="s">
        <v>14</v>
      </c>
    </row>
    <row r="2" spans="1:10" x14ac:dyDescent="0.25">
      <c r="A2" s="1" t="s">
        <v>1</v>
      </c>
      <c r="B2" s="1" t="s">
        <v>2</v>
      </c>
      <c r="D2" s="1" t="s">
        <v>6</v>
      </c>
      <c r="E2" s="1" t="s">
        <v>10</v>
      </c>
    </row>
    <row r="3" spans="1:10" x14ac:dyDescent="0.25">
      <c r="A3" s="1" t="str">
        <f>IF(B1="TRICHINI","9psaraceno",IF(B1="GIGLIUTO","9mgigliuto",IF(ISBLANK(B1),"Seleziona utenza","")))</f>
        <v>9psaraceno</v>
      </c>
      <c r="B3" s="1" t="str">
        <f>IF(B1="TRICHINI","Mascara@13",IF(B1="GIGLIUTO","Catania9+",IF(ISBLANK(B1),"Seleziona utenza","")))</f>
        <v>Mascara@13</v>
      </c>
      <c r="D3" s="1" t="s">
        <v>9</v>
      </c>
      <c r="E3" s="8" t="str">
        <f ca="1">"\\192.168.11.251\Condivisa\ALLEGRETTI\" &amp; IF(DAY(TODAY())&lt;79,YEAR(EDATE(TODAY(),-1)) &amp; "\TS\CANONI\" &amp; TEXT(EDATE(TODAY(),-1),"mm - ") &amp; UPPER(TEXT(EDATE(TODAY(),-1),"mmmm")),YEAR(TODAY()) &amp; "\TS\CANONI\" &amp; TEXT(TODAY(),"mm - ") &amp; UPPER(TEXT(TODAY(),"mmmm")))</f>
        <v>\\192.168.11.251\Condivisa\ALLEGRETTI\2025\TS\CANONI\12 - DICEMBRE</v>
      </c>
    </row>
    <row r="4" spans="1:10" x14ac:dyDescent="0.25">
      <c r="D4" s="1" t="s">
        <v>7</v>
      </c>
      <c r="E4" s="8" t="s">
        <v>12</v>
      </c>
      <c r="F4" s="3" t="s">
        <v>13</v>
      </c>
      <c r="H4" s="7"/>
    </row>
    <row r="5" spans="1:10" x14ac:dyDescent="0.25">
      <c r="D5" s="1" t="s">
        <v>20</v>
      </c>
      <c r="E5" s="1" t="str">
        <f ca="1">"\\192.168.11.251\Database_Tecnico_SMI\Giornaliere\Giornaliere " &amp; MID(parametri!E3,FIND("\TS\CANONI\",parametri!E3)-4,4) &amp; "\" &amp; "Giornaliera " &amp; RIGHT(MID(parametri!E3,1,FIND(" - ",parametri!E3)-1),2) &amp; "-" &amp; MID(parametri!E3,FIND("\TS\CANONI\",parametri!E3)-4,4) &amp; ".xlsm"</f>
        <v>\\192.168.11.251\Database_Tecnico_SMI\Giornaliere\Giornaliere 2025\Giornaliera 12-2025.xlsm</v>
      </c>
    </row>
    <row r="6" spans="1:10" x14ac:dyDescent="0.25">
      <c r="A6" s="2" t="s">
        <v>3</v>
      </c>
      <c r="B6" s="2" t="s">
        <v>4</v>
      </c>
    </row>
    <row r="7" spans="1:10" x14ac:dyDescent="0.25">
      <c r="A7" s="1" t="str">
        <f>IF(OR('ODC canoni'!A2="", 'ODC canoni'!A2="5400"), "", IFERROR(LEFT('ODC canoni'!A2, FIND("-",'ODC canoni'!A2) - 1), 'ODC canoni'!A2))</f>
        <v>5400267905</v>
      </c>
      <c r="B7" s="1" t="str">
        <f>IF(OR('ODC canoni'!A2="", 'ODC canoni'!A2=5400), "", IFERROR(MID('ODC canoni'!A2, FIND("-",'ODC canoni'!A2) + 1, LEN('ODC canoni'!A2)), ""))</f>
        <v/>
      </c>
    </row>
    <row r="8" spans="1:10" x14ac:dyDescent="0.25">
      <c r="A8" s="1" t="str">
        <f>IF(OR('ODC canoni'!B2="", 'ODC canoni'!B2="5400"), "", IFERROR(LEFT('ODC canoni'!B2, FIND("-",'ODC canoni'!B2) - 1), 'ODC canoni'!B2))</f>
        <v>5400267902</v>
      </c>
      <c r="B8" s="1" t="str">
        <f>IF(OR('ODC canoni'!B2="", 'ODC canoni'!B2=5400), "", IFERROR(MID('ODC canoni'!B2, FIND("-",'ODC canoni'!B2) + 1, LEN('ODC canoni'!B2)), ""))</f>
        <v/>
      </c>
    </row>
    <row r="9" spans="1:10" x14ac:dyDescent="0.25">
      <c r="A9" s="1" t="str">
        <f>IF(OR('ODC canoni'!C2="", 'ODC canoni'!C2="5400"), "", IFERROR(LEFT('ODC canoni'!C2, FIND("-",'ODC canoni'!C2) - 1), 'ODC canoni'!C2))</f>
        <v>5400267911</v>
      </c>
      <c r="B9" s="1" t="str">
        <f>IF(OR('ODC canoni'!C2="", 'ODC canoni'!C2=5400), "", IFERROR(MID('ODC canoni'!C2, FIND("-",'ODC canoni'!C2) + 1, LEN('ODC canoni'!C2)), ""))</f>
        <v/>
      </c>
    </row>
    <row r="10" spans="1:10" x14ac:dyDescent="0.25">
      <c r="A10" s="1" t="str">
        <f>IF(OR('ODC canoni'!D2="", 'ODC canoni'!D2="5400"), "", IFERROR(LEFT('ODC canoni'!D2, FIND("-",'ODC canoni'!D2) - 1), 'ODC canoni'!D2))</f>
        <v/>
      </c>
      <c r="B10" s="1" t="str">
        <f>IF(OR('ODC canoni'!D2="", 'ODC canoni'!D2=5400), "", IFERROR(MID('ODC canoni'!D2, FIND("-",'ODC canoni'!D2) + 1, LEN('ODC canoni'!D2)), ""))</f>
        <v/>
      </c>
    </row>
    <row r="16" spans="1:10" x14ac:dyDescent="0.25">
      <c r="J16" s="6"/>
    </row>
    <row r="17" spans="8:10" x14ac:dyDescent="0.25">
      <c r="J17" s="6"/>
    </row>
    <row r="18" spans="8:10" x14ac:dyDescent="0.25">
      <c r="H18" s="5"/>
      <c r="J18" s="6"/>
    </row>
    <row r="21" spans="8:10" x14ac:dyDescent="0.25">
      <c r="J21" s="6"/>
    </row>
  </sheetData>
  <mergeCells count="1">
    <mergeCell ref="D1:E1"/>
  </mergeCells>
  <dataValidations count="2">
    <dataValidation type="list" allowBlank="1" showInputMessage="1" showErrorMessage="1" sqref="B1" xr:uid="{00000000-0002-0000-0000-000000000000}">
      <formula1>"TRICHINI,GIGLIUTO,"</formula1>
    </dataValidation>
    <dataValidation type="list" allowBlank="1" showInputMessage="1" showErrorMessage="1" sqref="F4" xr:uid="{00000000-0002-0000-0000-000001000000}">
      <formula1>"SI,NO,"</formula1>
    </dataValidation>
  </dataValidations>
  <hyperlinks>
    <hyperlink ref="E4" r:id="rId1" xr:uid="{00000000-0004-0000-0000-000001000000}"/>
    <hyperlink ref="E3" r:id="rId2" display="\\192.168.11.251\Condivisa\ALLEGRETTI\2025\TS\CANONI\06 - GIUGNO" xr:uid="{9F487F13-AC52-4677-BEAC-150286A84779}"/>
  </hyperlinks>
  <pageMargins left="0.7" right="0.7" top="0.75" bottom="0.75" header="0.3" footer="0.3"/>
  <pageSetup paperSize="9" orientation="portrait" horizontalDpi="360" verticalDpi="360" r:id="rId3"/>
  <legacy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19287-BE5F-4CCD-9F4F-ED24EA9007B9}">
  <sheetPr codeName="Foglio3"/>
  <dimension ref="A1:D2"/>
  <sheetViews>
    <sheetView workbookViewId="0">
      <selection activeCell="B2" sqref="B2"/>
    </sheetView>
  </sheetViews>
  <sheetFormatPr defaultRowHeight="15" x14ac:dyDescent="0.25"/>
  <cols>
    <col min="1" max="1" width="18.140625" bestFit="1" customWidth="1"/>
    <col min="2" max="2" width="11" bestFit="1" customWidth="1"/>
    <col min="3" max="3" width="11.28515625" bestFit="1" customWidth="1"/>
    <col min="4" max="4" width="7.7109375" bestFit="1" customWidth="1"/>
    <col min="5" max="7" width="18.85546875" bestFit="1" customWidth="1"/>
    <col min="8" max="8" width="12.5703125" bestFit="1" customWidth="1"/>
    <col min="9" max="9" width="18.85546875" bestFit="1" customWidth="1"/>
  </cols>
  <sheetData>
    <row r="1" spans="1:4" x14ac:dyDescent="0.25">
      <c r="A1" t="s">
        <v>15</v>
      </c>
      <c r="B1" t="s">
        <v>16</v>
      </c>
      <c r="C1" t="s">
        <v>17</v>
      </c>
      <c r="D1" t="s">
        <v>18</v>
      </c>
    </row>
    <row r="2" spans="1:4" x14ac:dyDescent="0.25">
      <c r="A2" t="s">
        <v>21</v>
      </c>
      <c r="B2" t="s">
        <v>22</v>
      </c>
      <c r="C2" t="s">
        <v>23</v>
      </c>
      <c r="D2" t="s">
        <v>19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75798A-429D-47E0-A878-9C7816D1BA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3</vt:i4>
      </vt:variant>
    </vt:vector>
  </HeadingPairs>
  <TitlesOfParts>
    <vt:vector size="5" baseType="lpstr">
      <vt:lpstr>parametri</vt:lpstr>
      <vt:lpstr>ODC canoni</vt:lpstr>
      <vt:lpstr>AA</vt:lpstr>
      <vt:lpstr>PercorsoDinamico</vt:lpstr>
      <vt:lpstr>PercorsoDinamico2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Giancarlo Allegretti</dc:creator>
  <cp:lastModifiedBy>Giancarlo Allegretti</cp:lastModifiedBy>
  <dcterms:created xsi:type="dcterms:W3CDTF">2025-05-11T07:53:35Z</dcterms:created>
  <dcterms:modified xsi:type="dcterms:W3CDTF">2026-01-14T10:34:55Z</dcterms:modified>
</cp:coreProperties>
</file>